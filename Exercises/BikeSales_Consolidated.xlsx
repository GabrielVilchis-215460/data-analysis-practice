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ylet\OneDrive\Desktop\"/>
    </mc:Choice>
  </mc:AlternateContent>
  <xr:revisionPtr revIDLastSave="0" documentId="13_ncr:1_{1FFC8FBA-7744-4C8F-8CFD-7DAFCD7E3DD4}" xr6:coauthVersionLast="47" xr6:coauthVersionMax="47" xr10:uidLastSave="{00000000-0000-0000-0000-000000000000}"/>
  <bookViews>
    <workbookView xWindow="11076" yWindow="2364" windowWidth="11664" windowHeight="9396" activeTab="1" xr2:uid="{4C41C893-117A-4358-B906-64E987B56491}"/>
  </bookViews>
  <sheets>
    <sheet name="Hoja1" sheetId="1" r:id="rId1"/>
    <sheet name="Hoja3" sheetId="3" r:id="rId2"/>
    <sheet name="Hoja2" sheetId="2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A2" i="3"/>
  <c r="A1" i="2" a="1"/>
  <c r="A1" i="2" s="1"/>
  <c r="A1" i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<sst xmlns="http://schemas.openxmlformats.org/spreadsheetml/2006/main" count="2" uniqueCount="2">
  <si>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Revenue Average 2021</t>
  </si>
  <si>
    <t>Cost  Average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</si>
</sst>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ylet\OneDrive\Desktop\Bike_Sales_2021.xlsx" TargetMode="External"/><Relationship Id="rId1" Type="http://schemas.openxmlformats.org/officeDocument/2006/relationships/externalLinkPath" Target="Bike_Sales_202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ylet\OneDrive\Desktop\Bike_Sales_2022.xlsx" TargetMode="External"/><Relationship Id="rId1" Type="http://schemas.openxmlformats.org/officeDocument/2006/relationships/externalLinkPath" Target="Bike_Sales_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Date</v>
          </cell>
          <cell r="B1" t="str">
            <v>Day</v>
          </cell>
          <cell r="C1" t="str">
            <v>Month</v>
          </cell>
          <cell r="D1" t="str">
            <v>Year</v>
          </cell>
          <cell r="E1" t="str">
            <v>Customer_Age</v>
          </cell>
          <cell r="F1" t="str">
            <v>Age_Group</v>
          </cell>
          <cell r="G1" t="str">
            <v>Customer_Gender</v>
          </cell>
          <cell r="H1" t="str">
            <v>Country</v>
          </cell>
          <cell r="I1" t="str">
            <v>State</v>
          </cell>
          <cell r="J1" t="str">
            <v>Product_Category</v>
          </cell>
          <cell r="K1" t="str">
            <v>Sub_Category</v>
          </cell>
          <cell r="L1" t="str">
            <v>Product</v>
          </cell>
          <cell r="M1" t="str">
            <v>Order_Quantity</v>
          </cell>
          <cell r="N1" t="str">
            <v>Unit_Cost</v>
          </cell>
          <cell r="O1" t="str">
            <v>Unit_Price</v>
          </cell>
          <cell r="P1" t="str">
            <v>Profit</v>
          </cell>
          <cell r="Q1" t="str">
            <v>Cost</v>
          </cell>
          <cell r="R1" t="str">
            <v>Revenue</v>
          </cell>
        </row>
        <row r="2">
          <cell r="A2">
            <v>44227</v>
          </cell>
          <cell r="B2">
            <v>31</v>
          </cell>
          <cell r="C2" t="str">
            <v>January</v>
          </cell>
          <cell r="D2">
            <v>2021</v>
          </cell>
          <cell r="E2">
            <v>39</v>
          </cell>
          <cell r="F2" t="str">
            <v>Adults (35-64)</v>
          </cell>
          <cell r="G2" t="str">
            <v>M</v>
          </cell>
          <cell r="H2" t="str">
            <v>United States</v>
          </cell>
          <cell r="I2" t="str">
            <v>Washington</v>
          </cell>
          <cell r="J2" t="str">
            <v>Bikes</v>
          </cell>
          <cell r="K2" t="str">
            <v>Road Bikes</v>
          </cell>
          <cell r="L2" t="str">
            <v>Road-550-W Yellow, 38</v>
          </cell>
          <cell r="M2">
            <v>30</v>
          </cell>
          <cell r="N2">
            <v>713</v>
          </cell>
          <cell r="O2">
            <v>1120</v>
          </cell>
          <cell r="P2">
            <v>12210</v>
          </cell>
          <cell r="Q2">
            <v>21390</v>
          </cell>
          <cell r="R2">
            <v>33600</v>
          </cell>
        </row>
        <row r="3">
          <cell r="A3">
            <v>44255</v>
          </cell>
          <cell r="B3">
            <v>28</v>
          </cell>
          <cell r="C3" t="str">
            <v>February</v>
          </cell>
          <cell r="D3">
            <v>2021</v>
          </cell>
          <cell r="E3">
            <v>33</v>
          </cell>
          <cell r="F3" t="str">
            <v>Young Adults (25-34)</v>
          </cell>
          <cell r="G3" t="str">
            <v>F</v>
          </cell>
          <cell r="H3" t="str">
            <v>France</v>
          </cell>
          <cell r="I3" t="str">
            <v>Yveline</v>
          </cell>
          <cell r="J3" t="str">
            <v>Bikes</v>
          </cell>
          <cell r="K3" t="str">
            <v>Road Bikes</v>
          </cell>
          <cell r="L3" t="str">
            <v>Road-150 Red, 48</v>
          </cell>
          <cell r="M3">
            <v>20</v>
          </cell>
          <cell r="N3">
            <v>2171</v>
          </cell>
          <cell r="O3">
            <v>3578</v>
          </cell>
          <cell r="P3">
            <v>28140</v>
          </cell>
          <cell r="Q3">
            <v>43420</v>
          </cell>
          <cell r="R3">
            <v>71560</v>
          </cell>
        </row>
        <row r="4">
          <cell r="A4">
            <v>44286</v>
          </cell>
          <cell r="B4">
            <v>31</v>
          </cell>
          <cell r="C4" t="str">
            <v>March</v>
          </cell>
          <cell r="D4">
            <v>2021</v>
          </cell>
          <cell r="E4">
            <v>17</v>
          </cell>
          <cell r="F4" t="str">
            <v>Youth (&lt;25)</v>
          </cell>
          <cell r="G4" t="str">
            <v>M</v>
          </cell>
          <cell r="H4" t="str">
            <v>Canada</v>
          </cell>
          <cell r="I4" t="str">
            <v>British Columbia</v>
          </cell>
          <cell r="J4" t="str">
            <v>Bikes</v>
          </cell>
          <cell r="K4" t="str">
            <v>Road Bikes</v>
          </cell>
          <cell r="L4" t="str">
            <v>Road-250 Red, 44</v>
          </cell>
          <cell r="M4">
            <v>10</v>
          </cell>
          <cell r="N4">
            <v>1519</v>
          </cell>
          <cell r="O4">
            <v>2443</v>
          </cell>
          <cell r="P4">
            <v>9240</v>
          </cell>
          <cell r="Q4">
            <v>15190</v>
          </cell>
          <cell r="R4">
            <v>24430</v>
          </cell>
        </row>
        <row r="5">
          <cell r="A5">
            <v>44316</v>
          </cell>
          <cell r="B5">
            <v>30</v>
          </cell>
          <cell r="C5" t="str">
            <v>April</v>
          </cell>
          <cell r="D5">
            <v>2021</v>
          </cell>
          <cell r="E5">
            <v>23</v>
          </cell>
          <cell r="F5" t="str">
            <v>Youth (&lt;25)</v>
          </cell>
          <cell r="G5" t="str">
            <v>M</v>
          </cell>
          <cell r="H5" t="str">
            <v>Australia</v>
          </cell>
          <cell r="I5" t="str">
            <v>Victoria</v>
          </cell>
          <cell r="J5" t="str">
            <v>Bikes</v>
          </cell>
          <cell r="K5" t="str">
            <v>Mountain Bikes</v>
          </cell>
          <cell r="L5" t="str">
            <v>Mountain-200 Black, 46</v>
          </cell>
          <cell r="M5">
            <v>10</v>
          </cell>
          <cell r="N5">
            <v>1252</v>
          </cell>
          <cell r="O5">
            <v>2295</v>
          </cell>
          <cell r="P5">
            <v>10430</v>
          </cell>
          <cell r="Q5">
            <v>12520</v>
          </cell>
          <cell r="R5">
            <v>22950</v>
          </cell>
        </row>
        <row r="6">
          <cell r="A6">
            <v>44347</v>
          </cell>
          <cell r="B6">
            <v>31</v>
          </cell>
          <cell r="C6" t="str">
            <v>May</v>
          </cell>
          <cell r="D6">
            <v>2021</v>
          </cell>
          <cell r="E6">
            <v>42</v>
          </cell>
          <cell r="F6" t="str">
            <v>Adults (35-64)</v>
          </cell>
          <cell r="G6" t="str">
            <v>M</v>
          </cell>
          <cell r="H6" t="str">
            <v>United States</v>
          </cell>
          <cell r="I6" t="str">
            <v>California</v>
          </cell>
          <cell r="J6" t="str">
            <v>Bikes</v>
          </cell>
          <cell r="K6" t="str">
            <v>Road Bikes</v>
          </cell>
          <cell r="L6" t="str">
            <v>Road-750 Black, 44</v>
          </cell>
          <cell r="M6">
            <v>11</v>
          </cell>
          <cell r="N6">
            <v>344</v>
          </cell>
          <cell r="O6">
            <v>540</v>
          </cell>
          <cell r="P6">
            <v>-24060</v>
          </cell>
          <cell r="Q6">
            <v>30000</v>
          </cell>
          <cell r="R6">
            <v>5940</v>
          </cell>
        </row>
        <row r="7">
          <cell r="A7">
            <v>44377</v>
          </cell>
          <cell r="B7">
            <v>30</v>
          </cell>
          <cell r="C7" t="str">
            <v>June</v>
          </cell>
          <cell r="D7">
            <v>2021</v>
          </cell>
          <cell r="E7">
            <v>40</v>
          </cell>
          <cell r="F7" t="str">
            <v>Adults (35-64)</v>
          </cell>
          <cell r="G7" t="str">
            <v>M</v>
          </cell>
          <cell r="H7" t="str">
            <v>Australia</v>
          </cell>
          <cell r="I7" t="str">
            <v>Victoria</v>
          </cell>
          <cell r="J7" t="str">
            <v>Bikes</v>
          </cell>
          <cell r="K7" t="str">
            <v>Road Bikes</v>
          </cell>
          <cell r="L7" t="str">
            <v>Road-550-W Yellow, 40</v>
          </cell>
          <cell r="M7">
            <v>14</v>
          </cell>
          <cell r="N7">
            <v>713</v>
          </cell>
          <cell r="O7">
            <v>1120</v>
          </cell>
          <cell r="P7">
            <v>5698</v>
          </cell>
          <cell r="Q7">
            <v>9982</v>
          </cell>
          <cell r="R7">
            <v>15680</v>
          </cell>
        </row>
        <row r="8">
          <cell r="A8">
            <v>44408</v>
          </cell>
          <cell r="B8">
            <v>31</v>
          </cell>
          <cell r="C8" t="str">
            <v>July</v>
          </cell>
          <cell r="D8">
            <v>2021</v>
          </cell>
          <cell r="E8">
            <v>41</v>
          </cell>
          <cell r="F8" t="str">
            <v>Adults (35-64)</v>
          </cell>
          <cell r="G8" t="str">
            <v>F</v>
          </cell>
          <cell r="H8" t="str">
            <v>Australia</v>
          </cell>
          <cell r="I8" t="str">
            <v>Queensland</v>
          </cell>
          <cell r="J8" t="str">
            <v>Bikes</v>
          </cell>
          <cell r="K8" t="str">
            <v>Road Bikes</v>
          </cell>
          <cell r="L8" t="str">
            <v>Road-250 Red, 58</v>
          </cell>
          <cell r="M8">
            <v>30</v>
          </cell>
          <cell r="N8">
            <v>1555</v>
          </cell>
          <cell r="O8">
            <v>2443</v>
          </cell>
          <cell r="P8">
            <v>26640</v>
          </cell>
          <cell r="Q8">
            <v>46650</v>
          </cell>
          <cell r="R8">
            <v>73290</v>
          </cell>
        </row>
        <row r="9">
          <cell r="A9">
            <v>44439</v>
          </cell>
          <cell r="B9">
            <v>31</v>
          </cell>
          <cell r="C9" t="str">
            <v>August</v>
          </cell>
          <cell r="D9">
            <v>2021</v>
          </cell>
          <cell r="E9">
            <v>32</v>
          </cell>
          <cell r="F9" t="str">
            <v>Young Adults (25-34)</v>
          </cell>
          <cell r="G9" t="str">
            <v>M</v>
          </cell>
          <cell r="H9" t="str">
            <v>United Kingdom</v>
          </cell>
          <cell r="I9" t="str">
            <v>England</v>
          </cell>
          <cell r="J9" t="str">
            <v>Bikes</v>
          </cell>
          <cell r="K9" t="str">
            <v>Road Bikes</v>
          </cell>
          <cell r="L9" t="str">
            <v>Road-550-W Yellow, 38</v>
          </cell>
          <cell r="M9">
            <v>14</v>
          </cell>
          <cell r="N9">
            <v>713</v>
          </cell>
          <cell r="O9">
            <v>1120</v>
          </cell>
          <cell r="P9">
            <v>5698</v>
          </cell>
          <cell r="Q9">
            <v>9982</v>
          </cell>
          <cell r="R9">
            <v>15680</v>
          </cell>
        </row>
        <row r="10">
          <cell r="A10">
            <v>44469</v>
          </cell>
          <cell r="B10">
            <v>30</v>
          </cell>
          <cell r="C10" t="str">
            <v>September</v>
          </cell>
          <cell r="D10">
            <v>2021</v>
          </cell>
          <cell r="E10">
            <v>35</v>
          </cell>
          <cell r="F10" t="str">
            <v>Adults (35-64)</v>
          </cell>
          <cell r="G10" t="str">
            <v>F</v>
          </cell>
          <cell r="H10" t="str">
            <v>United States</v>
          </cell>
          <cell r="I10" t="str">
            <v>California</v>
          </cell>
          <cell r="J10" t="str">
            <v>Bikes</v>
          </cell>
          <cell r="K10" t="str">
            <v>Road Bikes</v>
          </cell>
          <cell r="L10" t="str">
            <v>Road-550-W Yellow, 48</v>
          </cell>
          <cell r="M10">
            <v>12</v>
          </cell>
          <cell r="N10">
            <v>713</v>
          </cell>
          <cell r="O10">
            <v>1120</v>
          </cell>
          <cell r="P10">
            <v>4884</v>
          </cell>
          <cell r="Q10">
            <v>8556</v>
          </cell>
          <cell r="R10">
            <v>13440</v>
          </cell>
        </row>
        <row r="11">
          <cell r="A11">
            <v>44500</v>
          </cell>
          <cell r="B11">
            <v>31</v>
          </cell>
          <cell r="C11" t="str">
            <v>October</v>
          </cell>
          <cell r="D11">
            <v>2021</v>
          </cell>
          <cell r="E11">
            <v>28</v>
          </cell>
          <cell r="F11" t="str">
            <v>Young Adults (25-34)</v>
          </cell>
          <cell r="G11" t="str">
            <v>M</v>
          </cell>
          <cell r="H11" t="str">
            <v>United Kingdom</v>
          </cell>
          <cell r="I11" t="str">
            <v>England</v>
          </cell>
          <cell r="J11" t="str">
            <v>Bikes</v>
          </cell>
          <cell r="K11" t="str">
            <v>Mountain Bikes</v>
          </cell>
          <cell r="L11" t="str">
            <v>Mountain-200 Black, 38</v>
          </cell>
          <cell r="M11">
            <v>40</v>
          </cell>
          <cell r="N11">
            <v>1252</v>
          </cell>
          <cell r="O11">
            <v>2295</v>
          </cell>
          <cell r="P11">
            <v>41720</v>
          </cell>
          <cell r="Q11">
            <v>50080</v>
          </cell>
          <cell r="R11">
            <v>91800</v>
          </cell>
        </row>
        <row r="12">
          <cell r="A12">
            <v>44530</v>
          </cell>
          <cell r="B12">
            <v>30</v>
          </cell>
          <cell r="C12" t="str">
            <v>November</v>
          </cell>
          <cell r="D12">
            <v>2021</v>
          </cell>
          <cell r="E12">
            <v>39</v>
          </cell>
          <cell r="F12" t="str">
            <v>Adults (35-64)</v>
          </cell>
          <cell r="G12" t="str">
            <v>F</v>
          </cell>
          <cell r="H12" t="str">
            <v>United States</v>
          </cell>
          <cell r="I12" t="str">
            <v>California</v>
          </cell>
          <cell r="J12" t="str">
            <v>Bikes</v>
          </cell>
          <cell r="K12" t="str">
            <v>Road Bikes</v>
          </cell>
          <cell r="L12" t="str">
            <v>Road-150 Red, 48</v>
          </cell>
          <cell r="M12">
            <v>47</v>
          </cell>
          <cell r="N12">
            <v>2171</v>
          </cell>
          <cell r="O12">
            <v>3578</v>
          </cell>
          <cell r="P12">
            <v>66129</v>
          </cell>
          <cell r="Q12">
            <v>102037</v>
          </cell>
          <cell r="R12">
            <v>168166</v>
          </cell>
        </row>
        <row r="13">
          <cell r="A13">
            <v>44561</v>
          </cell>
          <cell r="B13">
            <v>31</v>
          </cell>
          <cell r="C13" t="str">
            <v>December</v>
          </cell>
          <cell r="D13">
            <v>2021</v>
          </cell>
          <cell r="E13">
            <v>45</v>
          </cell>
          <cell r="F13" t="str">
            <v>Adults (35-64)</v>
          </cell>
          <cell r="G13" t="str">
            <v>M</v>
          </cell>
          <cell r="H13" t="str">
            <v>Canada</v>
          </cell>
          <cell r="I13" t="str">
            <v>British Columbia</v>
          </cell>
          <cell r="J13" t="str">
            <v>Bikes</v>
          </cell>
          <cell r="K13" t="str">
            <v>Road Bikes</v>
          </cell>
          <cell r="L13" t="str">
            <v>Road-750 Black, 44</v>
          </cell>
          <cell r="M13">
            <v>32</v>
          </cell>
          <cell r="N13">
            <v>344</v>
          </cell>
          <cell r="O13">
            <v>540</v>
          </cell>
          <cell r="P13">
            <v>6272</v>
          </cell>
          <cell r="Q13">
            <v>11008</v>
          </cell>
          <cell r="R13">
            <v>17280</v>
          </cell>
        </row>
        <row r="14">
          <cell r="A14">
            <v>44592</v>
          </cell>
          <cell r="B14">
            <v>31</v>
          </cell>
          <cell r="C14" t="str">
            <v>January</v>
          </cell>
          <cell r="D14">
            <v>2022</v>
          </cell>
          <cell r="E14">
            <v>45</v>
          </cell>
          <cell r="F14" t="str">
            <v>Adults (35-64)</v>
          </cell>
          <cell r="G14" t="str">
            <v>F</v>
          </cell>
          <cell r="H14" t="str">
            <v>Australia</v>
          </cell>
          <cell r="I14" t="str">
            <v>South Australia</v>
          </cell>
          <cell r="J14" t="str">
            <v>Bikes</v>
          </cell>
          <cell r="K14" t="str">
            <v>Road Bikes</v>
          </cell>
          <cell r="L14" t="str">
            <v>Road-750 Black, 48</v>
          </cell>
          <cell r="M14">
            <v>28</v>
          </cell>
          <cell r="N14">
            <v>344</v>
          </cell>
          <cell r="O14">
            <v>540</v>
          </cell>
          <cell r="P14">
            <v>5488</v>
          </cell>
          <cell r="Q14">
            <v>9632</v>
          </cell>
          <cell r="R14">
            <v>15120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Date</v>
          </cell>
          <cell r="B1" t="str">
            <v>Day</v>
          </cell>
          <cell r="C1" t="str">
            <v>Month</v>
          </cell>
          <cell r="D1" t="str">
            <v>Year</v>
          </cell>
          <cell r="E1" t="str">
            <v>Customer_Age</v>
          </cell>
          <cell r="F1" t="str">
            <v>Age_Group</v>
          </cell>
          <cell r="G1" t="str">
            <v>Customer_Gender</v>
          </cell>
          <cell r="H1" t="str">
            <v>Country</v>
          </cell>
          <cell r="I1" t="str">
            <v>State</v>
          </cell>
          <cell r="J1" t="str">
            <v>Product_Category</v>
          </cell>
          <cell r="K1" t="str">
            <v>Sub_Category</v>
          </cell>
          <cell r="L1" t="str">
            <v>Product</v>
          </cell>
          <cell r="M1" t="str">
            <v>Order_Quantity</v>
          </cell>
          <cell r="N1" t="str">
            <v>Unit_Cost</v>
          </cell>
          <cell r="O1" t="str">
            <v>Unit_Price</v>
          </cell>
          <cell r="P1" t="str">
            <v>Profit</v>
          </cell>
          <cell r="Q1" t="str">
            <v>Cost</v>
          </cell>
          <cell r="R1" t="str">
            <v>Revenue</v>
          </cell>
        </row>
        <row r="2">
          <cell r="A2">
            <v>44595</v>
          </cell>
          <cell r="B2">
            <v>27</v>
          </cell>
          <cell r="C2" t="str">
            <v>February</v>
          </cell>
          <cell r="D2">
            <v>2022</v>
          </cell>
          <cell r="E2">
            <v>29</v>
          </cell>
          <cell r="F2" t="str">
            <v>Young Adults (25-34)</v>
          </cell>
          <cell r="G2" t="str">
            <v>F</v>
          </cell>
          <cell r="H2" t="str">
            <v>United States</v>
          </cell>
          <cell r="I2" t="str">
            <v>California</v>
          </cell>
          <cell r="J2" t="str">
            <v>Bikes</v>
          </cell>
          <cell r="K2" t="str">
            <v>Mountain Bikes</v>
          </cell>
          <cell r="L2" t="str">
            <v>Mountain-200 Silver, 42</v>
          </cell>
          <cell r="M2">
            <v>18</v>
          </cell>
          <cell r="N2">
            <v>1266</v>
          </cell>
          <cell r="O2">
            <v>2320</v>
          </cell>
          <cell r="P2">
            <v>18972</v>
          </cell>
          <cell r="Q2">
            <v>22788</v>
          </cell>
          <cell r="R2">
            <v>41760</v>
          </cell>
        </row>
        <row r="3">
          <cell r="A3">
            <v>44623</v>
          </cell>
          <cell r="B3">
            <v>31</v>
          </cell>
          <cell r="C3" t="str">
            <v>March</v>
          </cell>
          <cell r="D3">
            <v>2022</v>
          </cell>
          <cell r="E3">
            <v>38</v>
          </cell>
          <cell r="F3" t="str">
            <v>Adults (35-64)</v>
          </cell>
          <cell r="G3" t="str">
            <v>M</v>
          </cell>
          <cell r="H3" t="str">
            <v>United Kingdom</v>
          </cell>
          <cell r="I3" t="str">
            <v>England</v>
          </cell>
          <cell r="J3" t="str">
            <v>Bikes</v>
          </cell>
          <cell r="K3" t="str">
            <v>Mountain Bikes</v>
          </cell>
          <cell r="L3" t="str">
            <v>Mountain-200 Silver, 42</v>
          </cell>
          <cell r="M3">
            <v>16</v>
          </cell>
          <cell r="N3">
            <v>1266</v>
          </cell>
          <cell r="O3">
            <v>2320</v>
          </cell>
          <cell r="P3">
            <v>16864</v>
          </cell>
          <cell r="Q3">
            <v>20256</v>
          </cell>
          <cell r="R3">
            <v>37120</v>
          </cell>
        </row>
        <row r="4">
          <cell r="A4">
            <v>44654</v>
          </cell>
          <cell r="B4">
            <v>30</v>
          </cell>
          <cell r="C4" t="str">
            <v>April</v>
          </cell>
          <cell r="D4">
            <v>2022</v>
          </cell>
          <cell r="E4">
            <v>42</v>
          </cell>
          <cell r="F4" t="str">
            <v>Adults (35-64)</v>
          </cell>
          <cell r="G4" t="str">
            <v>F</v>
          </cell>
          <cell r="H4" t="str">
            <v>Australia</v>
          </cell>
          <cell r="I4" t="str">
            <v>Victoria</v>
          </cell>
          <cell r="J4" t="str">
            <v>Bikes</v>
          </cell>
          <cell r="K4" t="str">
            <v>Road Bikes</v>
          </cell>
          <cell r="L4" t="str">
            <v>Road-750 Black, 48</v>
          </cell>
          <cell r="M4">
            <v>11</v>
          </cell>
          <cell r="N4">
            <v>344</v>
          </cell>
          <cell r="O4">
            <v>540</v>
          </cell>
          <cell r="P4">
            <v>2156</v>
          </cell>
          <cell r="Q4">
            <v>3784</v>
          </cell>
          <cell r="R4">
            <v>5940</v>
          </cell>
        </row>
        <row r="5">
          <cell r="A5">
            <v>44684</v>
          </cell>
          <cell r="B5">
            <v>31</v>
          </cell>
          <cell r="C5" t="str">
            <v>May</v>
          </cell>
          <cell r="D5">
            <v>2022</v>
          </cell>
          <cell r="E5">
            <v>47</v>
          </cell>
          <cell r="F5" t="str">
            <v>Adults (35-64)</v>
          </cell>
          <cell r="G5" t="str">
            <v>M</v>
          </cell>
          <cell r="H5" t="str">
            <v>Australia</v>
          </cell>
          <cell r="I5" t="str">
            <v>South Australia</v>
          </cell>
          <cell r="J5" t="str">
            <v>Bikes</v>
          </cell>
          <cell r="K5" t="str">
            <v>Road Bikes</v>
          </cell>
          <cell r="L5" t="str">
            <v>Road-550-W Yellow, 44</v>
          </cell>
          <cell r="M5">
            <v>17</v>
          </cell>
          <cell r="N5">
            <v>713</v>
          </cell>
          <cell r="O5">
            <v>1120</v>
          </cell>
          <cell r="P5">
            <v>6919</v>
          </cell>
          <cell r="Q5">
            <v>12121</v>
          </cell>
          <cell r="R5">
            <v>19040</v>
          </cell>
        </row>
        <row r="6">
          <cell r="A6">
            <v>44716</v>
          </cell>
          <cell r="B6">
            <v>30</v>
          </cell>
          <cell r="C6" t="str">
            <v>June</v>
          </cell>
          <cell r="D6">
            <v>2022</v>
          </cell>
          <cell r="E6">
            <v>28</v>
          </cell>
          <cell r="F6" t="str">
            <v>Young Adults (25-34)</v>
          </cell>
          <cell r="G6" t="str">
            <v>M</v>
          </cell>
          <cell r="H6" t="str">
            <v>United Kingdom</v>
          </cell>
          <cell r="I6" t="str">
            <v>England</v>
          </cell>
          <cell r="J6" t="str">
            <v>Bikes</v>
          </cell>
          <cell r="K6" t="str">
            <v>Mountain Bikes</v>
          </cell>
          <cell r="L6" t="str">
            <v>Mountain-200 Black, 38</v>
          </cell>
          <cell r="M6">
            <v>36</v>
          </cell>
          <cell r="N6">
            <v>1252</v>
          </cell>
          <cell r="O6">
            <v>2295</v>
          </cell>
          <cell r="P6">
            <v>37548</v>
          </cell>
          <cell r="Q6">
            <v>45072</v>
          </cell>
          <cell r="R6">
            <v>82620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5BB45-0C43-4B6D-8A30-5CC7080D16C5}">
  <dimension ref="A1:R14"/>
  <sheetViews>
    <sheetView topLeftCell="K1" workbookViewId="0">
      <selection activeCell="A2" sqref="A2"/>
    </sheetView>
  </sheetViews>
  <sheetFormatPr baseColWidth="10" defaultRowHeight="14.4" x14ac:dyDescent="0.3"/>
  <sheetData>
    <row r="1" spans="1:18" x14ac:dyDescent="0.3">
      <c r="A1" t="str" cm="1">
        <f t="array" ref="A1:R14">[1]Sheet1!$A$1:$R$14</f>
        <v>Date</v>
      </c>
      <c r="B1" t="str">
        <v>Day</v>
      </c>
      <c r="C1" t="str">
        <v>Month</v>
      </c>
      <c r="D1" t="str">
        <v>Year</v>
      </c>
      <c r="E1" t="str">
        <v>Customer_Age</v>
      </c>
      <c r="F1" t="str">
        <v>Age_Group</v>
      </c>
      <c r="G1" t="str">
        <v>Customer_Gender</v>
      </c>
      <c r="H1" t="str">
        <v>Country</v>
      </c>
      <c r="I1" t="str">
        <v>State</v>
      </c>
      <c r="J1" t="str">
        <v>Product_Category</v>
      </c>
      <c r="K1" t="str">
        <v>Sub_Category</v>
      </c>
      <c r="L1" t="str">
        <v>Product</v>
      </c>
      <c r="M1" t="str">
        <v>Order_Quantity</v>
      </c>
      <c r="N1" t="str">
        <v>Unit_Cost</v>
      </c>
      <c r="O1" t="str">
        <v>Unit_Price</v>
      </c>
      <c r="P1" t="str">
        <v>Profit</v>
      </c>
      <c r="Q1" t="str">
        <v>Cost</v>
      </c>
      <c r="R1" t="str">
        <v>Revenue</v>
      </c>
    </row>
    <row r="2" spans="1:18" x14ac:dyDescent="0.3">
      <c r="A2">
        <v>44227</v>
      </c>
      <c r="B2">
        <v>31</v>
      </c>
      <c r="C2" t="str">
        <v>January</v>
      </c>
      <c r="D2">
        <v>2021</v>
      </c>
      <c r="E2">
        <v>39</v>
      </c>
      <c r="F2" t="str">
        <v>Adults (35-64)</v>
      </c>
      <c r="G2" t="str">
        <v>M</v>
      </c>
      <c r="H2" t="str">
        <v>United States</v>
      </c>
      <c r="I2" t="str">
        <v>Washington</v>
      </c>
      <c r="J2" t="str">
        <v>Bikes</v>
      </c>
      <c r="K2" t="str">
        <v>Road Bikes</v>
      </c>
      <c r="L2" t="str">
        <v>Road-550-W Yellow, 38</v>
      </c>
      <c r="M2">
        <v>30</v>
      </c>
      <c r="N2">
        <v>713</v>
      </c>
      <c r="O2">
        <v>1120</v>
      </c>
      <c r="P2">
        <v>12210</v>
      </c>
      <c r="Q2">
        <v>21390</v>
      </c>
      <c r="R2">
        <v>33600</v>
      </c>
    </row>
    <row r="3" spans="1:18" x14ac:dyDescent="0.3">
      <c r="A3">
        <v>44255</v>
      </c>
      <c r="B3">
        <v>28</v>
      </c>
      <c r="C3" t="str">
        <v>February</v>
      </c>
      <c r="D3">
        <v>2021</v>
      </c>
      <c r="E3">
        <v>33</v>
      </c>
      <c r="F3" t="str">
        <v>Young Adults (25-34)</v>
      </c>
      <c r="G3" t="str">
        <v>F</v>
      </c>
      <c r="H3" t="str">
        <v>France</v>
      </c>
      <c r="I3" t="str">
        <v>Yveline</v>
      </c>
      <c r="J3" t="str">
        <v>Bikes</v>
      </c>
      <c r="K3" t="str">
        <v>Road Bikes</v>
      </c>
      <c r="L3" t="str">
        <v>Road-150 Red, 48</v>
      </c>
      <c r="M3">
        <v>20</v>
      </c>
      <c r="N3">
        <v>2171</v>
      </c>
      <c r="O3">
        <v>3578</v>
      </c>
      <c r="P3">
        <v>28140</v>
      </c>
      <c r="Q3">
        <v>43420</v>
      </c>
      <c r="R3">
        <v>71560</v>
      </c>
    </row>
    <row r="4" spans="1:18" x14ac:dyDescent="0.3">
      <c r="A4">
        <v>44286</v>
      </c>
      <c r="B4">
        <v>31</v>
      </c>
      <c r="C4" t="str">
        <v>March</v>
      </c>
      <c r="D4">
        <v>2021</v>
      </c>
      <c r="E4">
        <v>17</v>
      </c>
      <c r="F4" t="str">
        <v>Youth (&lt;25)</v>
      </c>
      <c r="G4" t="str">
        <v>M</v>
      </c>
      <c r="H4" t="str">
        <v>Canada</v>
      </c>
      <c r="I4" t="str">
        <v>British Columbia</v>
      </c>
      <c r="J4" t="str">
        <v>Bikes</v>
      </c>
      <c r="K4" t="str">
        <v>Road Bikes</v>
      </c>
      <c r="L4" t="str">
        <v>Road-250 Red, 44</v>
      </c>
      <c r="M4">
        <v>10</v>
      </c>
      <c r="N4">
        <v>1519</v>
      </c>
      <c r="O4">
        <v>2443</v>
      </c>
      <c r="P4">
        <v>9240</v>
      </c>
      <c r="Q4">
        <v>15190</v>
      </c>
      <c r="R4">
        <v>24430</v>
      </c>
    </row>
    <row r="5" spans="1:18" x14ac:dyDescent="0.3">
      <c r="A5">
        <v>44316</v>
      </c>
      <c r="B5">
        <v>30</v>
      </c>
      <c r="C5" t="str">
        <v>April</v>
      </c>
      <c r="D5">
        <v>2021</v>
      </c>
      <c r="E5">
        <v>23</v>
      </c>
      <c r="F5" t="str">
        <v>Youth (&lt;25)</v>
      </c>
      <c r="G5" t="str">
        <v>M</v>
      </c>
      <c r="H5" t="str">
        <v>Australia</v>
      </c>
      <c r="I5" t="str">
        <v>Victoria</v>
      </c>
      <c r="J5" t="str">
        <v>Bikes</v>
      </c>
      <c r="K5" t="str">
        <v>Mountain Bikes</v>
      </c>
      <c r="L5" t="str">
        <v>Mountain-200 Black, 46</v>
      </c>
      <c r="M5">
        <v>10</v>
      </c>
      <c r="N5">
        <v>1252</v>
      </c>
      <c r="O5">
        <v>2295</v>
      </c>
      <c r="P5">
        <v>10430</v>
      </c>
      <c r="Q5">
        <v>12520</v>
      </c>
      <c r="R5">
        <v>22950</v>
      </c>
    </row>
    <row r="6" spans="1:18" x14ac:dyDescent="0.3">
      <c r="A6">
        <v>44347</v>
      </c>
      <c r="B6">
        <v>31</v>
      </c>
      <c r="C6" t="str">
        <v>May</v>
      </c>
      <c r="D6">
        <v>2021</v>
      </c>
      <c r="E6">
        <v>42</v>
      </c>
      <c r="F6" t="str">
        <v>Adults (35-64)</v>
      </c>
      <c r="G6" t="str">
        <v>M</v>
      </c>
      <c r="H6" t="str">
        <v>United States</v>
      </c>
      <c r="I6" t="str">
        <v>California</v>
      </c>
      <c r="J6" t="str">
        <v>Bikes</v>
      </c>
      <c r="K6" t="str">
        <v>Road Bikes</v>
      </c>
      <c r="L6" t="str">
        <v>Road-750 Black, 44</v>
      </c>
      <c r="M6">
        <v>11</v>
      </c>
      <c r="N6">
        <v>344</v>
      </c>
      <c r="O6">
        <v>540</v>
      </c>
      <c r="P6">
        <v>-24060</v>
      </c>
      <c r="Q6">
        <v>30000</v>
      </c>
      <c r="R6">
        <v>5940</v>
      </c>
    </row>
    <row r="7" spans="1:18" x14ac:dyDescent="0.3">
      <c r="A7">
        <v>44377</v>
      </c>
      <c r="B7">
        <v>30</v>
      </c>
      <c r="C7" t="str">
        <v>June</v>
      </c>
      <c r="D7">
        <v>2021</v>
      </c>
      <c r="E7">
        <v>40</v>
      </c>
      <c r="F7" t="str">
        <v>Adults (35-64)</v>
      </c>
      <c r="G7" t="str">
        <v>M</v>
      </c>
      <c r="H7" t="str">
        <v>Australia</v>
      </c>
      <c r="I7" t="str">
        <v>Victoria</v>
      </c>
      <c r="J7" t="str">
        <v>Bikes</v>
      </c>
      <c r="K7" t="str">
        <v>Road Bikes</v>
      </c>
      <c r="L7" t="str">
        <v>Road-550-W Yellow, 40</v>
      </c>
      <c r="M7">
        <v>14</v>
      </c>
      <c r="N7">
        <v>713</v>
      </c>
      <c r="O7">
        <v>1120</v>
      </c>
      <c r="P7">
        <v>5698</v>
      </c>
      <c r="Q7">
        <v>9982</v>
      </c>
      <c r="R7">
        <v>15680</v>
      </c>
    </row>
    <row r="8" spans="1:18" x14ac:dyDescent="0.3">
      <c r="A8">
        <v>44408</v>
      </c>
      <c r="B8">
        <v>31</v>
      </c>
      <c r="C8" t="str">
        <v>July</v>
      </c>
      <c r="D8">
        <v>2021</v>
      </c>
      <c r="E8">
        <v>41</v>
      </c>
      <c r="F8" t="str">
        <v>Adults (35-64)</v>
      </c>
      <c r="G8" t="str">
        <v>F</v>
      </c>
      <c r="H8" t="str">
        <v>Australia</v>
      </c>
      <c r="I8" t="str">
        <v>Queensland</v>
      </c>
      <c r="J8" t="str">
        <v>Bikes</v>
      </c>
      <c r="K8" t="str">
        <v>Road Bikes</v>
      </c>
      <c r="L8" t="str">
        <v>Road-250 Red, 58</v>
      </c>
      <c r="M8">
        <v>30</v>
      </c>
      <c r="N8">
        <v>1555</v>
      </c>
      <c r="O8">
        <v>2443</v>
      </c>
      <c r="P8">
        <v>26640</v>
      </c>
      <c r="Q8">
        <v>46650</v>
      </c>
      <c r="R8">
        <v>73290</v>
      </c>
    </row>
    <row r="9" spans="1:18" x14ac:dyDescent="0.3">
      <c r="A9">
        <v>44439</v>
      </c>
      <c r="B9">
        <v>31</v>
      </c>
      <c r="C9" t="str">
        <v>August</v>
      </c>
      <c r="D9">
        <v>2021</v>
      </c>
      <c r="E9">
        <v>32</v>
      </c>
      <c r="F9" t="str">
        <v>Young Adults (25-34)</v>
      </c>
      <c r="G9" t="str">
        <v>M</v>
      </c>
      <c r="H9" t="str">
        <v>United Kingdom</v>
      </c>
      <c r="I9" t="str">
        <v>England</v>
      </c>
      <c r="J9" t="str">
        <v>Bikes</v>
      </c>
      <c r="K9" t="str">
        <v>Road Bikes</v>
      </c>
      <c r="L9" t="str">
        <v>Road-550-W Yellow, 38</v>
      </c>
      <c r="M9">
        <v>14</v>
      </c>
      <c r="N9">
        <v>713</v>
      </c>
      <c r="O9">
        <v>1120</v>
      </c>
      <c r="P9">
        <v>5698</v>
      </c>
      <c r="Q9">
        <v>9982</v>
      </c>
      <c r="R9">
        <v>15680</v>
      </c>
    </row>
    <row r="10" spans="1:18" x14ac:dyDescent="0.3">
      <c r="A10">
        <v>44469</v>
      </c>
      <c r="B10">
        <v>30</v>
      </c>
      <c r="C10" t="str">
        <v>September</v>
      </c>
      <c r="D10">
        <v>2021</v>
      </c>
      <c r="E10">
        <v>35</v>
      </c>
      <c r="F10" t="str">
        <v>Adults (35-64)</v>
      </c>
      <c r="G10" t="str">
        <v>F</v>
      </c>
      <c r="H10" t="str">
        <v>United States</v>
      </c>
      <c r="I10" t="str">
        <v>California</v>
      </c>
      <c r="J10" t="str">
        <v>Bikes</v>
      </c>
      <c r="K10" t="str">
        <v>Road Bikes</v>
      </c>
      <c r="L10" t="str">
        <v>Road-550-W Yellow, 48</v>
      </c>
      <c r="M10">
        <v>12</v>
      </c>
      <c r="N10">
        <v>713</v>
      </c>
      <c r="O10">
        <v>1120</v>
      </c>
      <c r="P10">
        <v>4884</v>
      </c>
      <c r="Q10">
        <v>8556</v>
      </c>
      <c r="R10">
        <v>13440</v>
      </c>
    </row>
    <row r="11" spans="1:18" x14ac:dyDescent="0.3">
      <c r="A11">
        <v>44500</v>
      </c>
      <c r="B11">
        <v>31</v>
      </c>
      <c r="C11" t="str">
        <v>October</v>
      </c>
      <c r="D11">
        <v>2021</v>
      </c>
      <c r="E11">
        <v>28</v>
      </c>
      <c r="F11" t="str">
        <v>Young Adults (25-34)</v>
      </c>
      <c r="G11" t="str">
        <v>M</v>
      </c>
      <c r="H11" t="str">
        <v>United Kingdom</v>
      </c>
      <c r="I11" t="str">
        <v>England</v>
      </c>
      <c r="J11" t="str">
        <v>Bikes</v>
      </c>
      <c r="K11" t="str">
        <v>Mountain Bikes</v>
      </c>
      <c r="L11" t="str">
        <v>Mountain-200 Black, 38</v>
      </c>
      <c r="M11">
        <v>40</v>
      </c>
      <c r="N11">
        <v>1252</v>
      </c>
      <c r="O11">
        <v>2295</v>
      </c>
      <c r="P11">
        <v>41720</v>
      </c>
      <c r="Q11">
        <v>50080</v>
      </c>
      <c r="R11">
        <v>91800</v>
      </c>
    </row>
    <row r="12" spans="1:18" x14ac:dyDescent="0.3">
      <c r="A12">
        <v>44530</v>
      </c>
      <c r="B12">
        <v>30</v>
      </c>
      <c r="C12" t="str">
        <v>November</v>
      </c>
      <c r="D12">
        <v>2021</v>
      </c>
      <c r="E12">
        <v>39</v>
      </c>
      <c r="F12" t="str">
        <v>Adults (35-64)</v>
      </c>
      <c r="G12" t="str">
        <v>F</v>
      </c>
      <c r="H12" t="str">
        <v>United States</v>
      </c>
      <c r="I12" t="str">
        <v>California</v>
      </c>
      <c r="J12" t="str">
        <v>Bikes</v>
      </c>
      <c r="K12" t="str">
        <v>Road Bikes</v>
      </c>
      <c r="L12" t="str">
        <v>Road-150 Red, 48</v>
      </c>
      <c r="M12">
        <v>47</v>
      </c>
      <c r="N12">
        <v>2171</v>
      </c>
      <c r="O12">
        <v>3578</v>
      </c>
      <c r="P12">
        <v>66129</v>
      </c>
      <c r="Q12">
        <v>102037</v>
      </c>
      <c r="R12">
        <v>168166</v>
      </c>
    </row>
    <row r="13" spans="1:18" x14ac:dyDescent="0.3">
      <c r="A13">
        <v>44561</v>
      </c>
      <c r="B13">
        <v>31</v>
      </c>
      <c r="C13" t="str">
        <v>December</v>
      </c>
      <c r="D13">
        <v>2021</v>
      </c>
      <c r="E13">
        <v>45</v>
      </c>
      <c r="F13" t="str">
        <v>Adults (35-64)</v>
      </c>
      <c r="G13" t="str">
        <v>M</v>
      </c>
      <c r="H13" t="str">
        <v>Canada</v>
      </c>
      <c r="I13" t="str">
        <v>British Columbia</v>
      </c>
      <c r="J13" t="str">
        <v>Bikes</v>
      </c>
      <c r="K13" t="str">
        <v>Road Bikes</v>
      </c>
      <c r="L13" t="str">
        <v>Road-750 Black, 44</v>
      </c>
      <c r="M13">
        <v>32</v>
      </c>
      <c r="N13">
        <v>344</v>
      </c>
      <c r="O13">
        <v>540</v>
      </c>
      <c r="P13">
        <v>6272</v>
      </c>
      <c r="Q13">
        <v>11008</v>
      </c>
      <c r="R13">
        <v>17280</v>
      </c>
    </row>
    <row r="14" spans="1:18" x14ac:dyDescent="0.3">
      <c r="A14">
        <v>44592</v>
      </c>
      <c r="B14">
        <v>31</v>
      </c>
      <c r="C14" t="str">
        <v>January</v>
      </c>
      <c r="D14">
        <v>2022</v>
      </c>
      <c r="E14">
        <v>45</v>
      </c>
      <c r="F14" t="str">
        <v>Adults (35-64)</v>
      </c>
      <c r="G14" t="str">
        <v>F</v>
      </c>
      <c r="H14" t="str">
        <v>Australia</v>
      </c>
      <c r="I14" t="str">
        <v>South Australia</v>
      </c>
      <c r="J14" t="str">
        <v>Bikes</v>
      </c>
      <c r="K14" t="str">
        <v>Road Bikes</v>
      </c>
      <c r="L14" t="str">
        <v>Road-750 Black, 48</v>
      </c>
      <c r="M14">
        <v>28</v>
      </c>
      <c r="N14">
        <v>344</v>
      </c>
      <c r="O14">
        <v>540</v>
      </c>
      <c r="P14">
        <v>5488</v>
      </c>
      <c r="Q14">
        <v>9632</v>
      </c>
      <c r="R14">
        <v>15120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A37F-2FEA-4734-966E-FB1B71889DFA}">
  <dimension ref="A1:B2"/>
  <sheetViews>
    <sheetView tabSelected="1" workbookViewId="0">
      <selection activeCell="B3" sqref="B3"/>
    </sheetView>
  </sheetViews>
  <sheetFormatPr baseColWidth="10" defaultRowHeight="14.4" x14ac:dyDescent="0.3"/>
  <cols>
    <col min="1" max="1" width="23.77734375" customWidth="1"/>
    <col min="2" max="2" width="26.21875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f>AVERAGE([1]Sheet1!$Q$2:$Q$14)</f>
        <v>28495.923076923078</v>
      </c>
      <c r="B2" s="1">
        <f>AVERAGE([1]Sheet1!$R$2:$R$14)</f>
        <v>43764.307692307695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B88E1-33AD-4AC4-8022-E4F12E8B4CEB}">
  <dimension ref="A1:R6"/>
  <sheetViews>
    <sheetView workbookViewId="0">
      <selection activeCell="A2" sqref="A2"/>
    </sheetView>
  </sheetViews>
  <sheetFormatPr baseColWidth="10" defaultRowHeight="14.4" x14ac:dyDescent="0.3"/>
  <sheetData>
    <row r="1" spans="1:18" x14ac:dyDescent="0.3">
      <c r="A1" t="str" cm="1">
        <f t="array" ref="A1:R6">[2]Sheet1!$A$1:$R$6</f>
        <v>Date</v>
      </c>
      <c r="B1" t="str">
        <v>Day</v>
      </c>
      <c r="C1" t="str">
        <v>Month</v>
      </c>
      <c r="D1" t="str">
        <v>Year</v>
      </c>
      <c r="E1" t="str">
        <v>Customer_Age</v>
      </c>
      <c r="F1" t="str">
        <v>Age_Group</v>
      </c>
      <c r="G1" t="str">
        <v>Customer_Gender</v>
      </c>
      <c r="H1" t="str">
        <v>Country</v>
      </c>
      <c r="I1" t="str">
        <v>State</v>
      </c>
      <c r="J1" t="str">
        <v>Product_Category</v>
      </c>
      <c r="K1" t="str">
        <v>Sub_Category</v>
      </c>
      <c r="L1" t="str">
        <v>Product</v>
      </c>
      <c r="M1" t="str">
        <v>Order_Quantity</v>
      </c>
      <c r="N1" t="str">
        <v>Unit_Cost</v>
      </c>
      <c r="O1" t="str">
        <v>Unit_Price</v>
      </c>
      <c r="P1" t="str">
        <v>Profit</v>
      </c>
      <c r="Q1" t="str">
        <v>Cost</v>
      </c>
      <c r="R1" t="str">
        <v>Revenue</v>
      </c>
    </row>
    <row r="2" spans="1:18" x14ac:dyDescent="0.3">
      <c r="A2">
        <v>44595</v>
      </c>
      <c r="B2">
        <v>27</v>
      </c>
      <c r="C2" t="str">
        <v>February</v>
      </c>
      <c r="D2">
        <v>2022</v>
      </c>
      <c r="E2">
        <v>29</v>
      </c>
      <c r="F2" t="str">
        <v>Young Adults (25-34)</v>
      </c>
      <c r="G2" t="str">
        <v>F</v>
      </c>
      <c r="H2" t="str">
        <v>United States</v>
      </c>
      <c r="I2" t="str">
        <v>California</v>
      </c>
      <c r="J2" t="str">
        <v>Bikes</v>
      </c>
      <c r="K2" t="str">
        <v>Mountain Bikes</v>
      </c>
      <c r="L2" t="str">
        <v>Mountain-200 Silver, 42</v>
      </c>
      <c r="M2">
        <v>18</v>
      </c>
      <c r="N2">
        <v>1266</v>
      </c>
      <c r="O2">
        <v>2320</v>
      </c>
      <c r="P2">
        <v>18972</v>
      </c>
      <c r="Q2">
        <v>22788</v>
      </c>
      <c r="R2">
        <v>41760</v>
      </c>
    </row>
    <row r="3" spans="1:18" x14ac:dyDescent="0.3">
      <c r="A3">
        <v>44623</v>
      </c>
      <c r="B3">
        <v>31</v>
      </c>
      <c r="C3" t="str">
        <v>March</v>
      </c>
      <c r="D3">
        <v>2022</v>
      </c>
      <c r="E3">
        <v>38</v>
      </c>
      <c r="F3" t="str">
        <v>Adults (35-64)</v>
      </c>
      <c r="G3" t="str">
        <v>M</v>
      </c>
      <c r="H3" t="str">
        <v>United Kingdom</v>
      </c>
      <c r="I3" t="str">
        <v>England</v>
      </c>
      <c r="J3" t="str">
        <v>Bikes</v>
      </c>
      <c r="K3" t="str">
        <v>Mountain Bikes</v>
      </c>
      <c r="L3" t="str">
        <v>Mountain-200 Silver, 42</v>
      </c>
      <c r="M3">
        <v>16</v>
      </c>
      <c r="N3">
        <v>1266</v>
      </c>
      <c r="O3">
        <v>2320</v>
      </c>
      <c r="P3">
        <v>16864</v>
      </c>
      <c r="Q3">
        <v>20256</v>
      </c>
      <c r="R3">
        <v>37120</v>
      </c>
    </row>
    <row r="4" spans="1:18" x14ac:dyDescent="0.3">
      <c r="A4">
        <v>44654</v>
      </c>
      <c r="B4">
        <v>30</v>
      </c>
      <c r="C4" t="str">
        <v>April</v>
      </c>
      <c r="D4">
        <v>2022</v>
      </c>
      <c r="E4">
        <v>42</v>
      </c>
      <c r="F4" t="str">
        <v>Adults (35-64)</v>
      </c>
      <c r="G4" t="str">
        <v>F</v>
      </c>
      <c r="H4" t="str">
        <v>Australia</v>
      </c>
      <c r="I4" t="str">
        <v>Victoria</v>
      </c>
      <c r="J4" t="str">
        <v>Bikes</v>
      </c>
      <c r="K4" t="str">
        <v>Road Bikes</v>
      </c>
      <c r="L4" t="str">
        <v>Road-750 Black, 48</v>
      </c>
      <c r="M4">
        <v>11</v>
      </c>
      <c r="N4">
        <v>344</v>
      </c>
      <c r="O4">
        <v>540</v>
      </c>
      <c r="P4">
        <v>2156</v>
      </c>
      <c r="Q4">
        <v>3784</v>
      </c>
      <c r="R4">
        <v>5940</v>
      </c>
    </row>
    <row r="5" spans="1:18" x14ac:dyDescent="0.3">
      <c r="A5">
        <v>44684</v>
      </c>
      <c r="B5">
        <v>31</v>
      </c>
      <c r="C5" t="str">
        <v>May</v>
      </c>
      <c r="D5">
        <v>2022</v>
      </c>
      <c r="E5">
        <v>47</v>
      </c>
      <c r="F5" t="str">
        <v>Adults (35-64)</v>
      </c>
      <c r="G5" t="str">
        <v>M</v>
      </c>
      <c r="H5" t="str">
        <v>Australia</v>
      </c>
      <c r="I5" t="str">
        <v>South Australia</v>
      </c>
      <c r="J5" t="str">
        <v>Bikes</v>
      </c>
      <c r="K5" t="str">
        <v>Road Bikes</v>
      </c>
      <c r="L5" t="str">
        <v>Road-550-W Yellow, 44</v>
      </c>
      <c r="M5">
        <v>17</v>
      </c>
      <c r="N5">
        <v>713</v>
      </c>
      <c r="O5">
        <v>1120</v>
      </c>
      <c r="P5">
        <v>6919</v>
      </c>
      <c r="Q5">
        <v>12121</v>
      </c>
      <c r="R5">
        <v>19040</v>
      </c>
    </row>
    <row r="6" spans="1:18" x14ac:dyDescent="0.3">
      <c r="A6">
        <v>44716</v>
      </c>
      <c r="B6">
        <v>30</v>
      </c>
      <c r="C6" t="str">
        <v>June</v>
      </c>
      <c r="D6">
        <v>2022</v>
      </c>
      <c r="E6">
        <v>28</v>
      </c>
      <c r="F6" t="str">
        <v>Young Adults (25-34)</v>
      </c>
      <c r="G6" t="str">
        <v>M</v>
      </c>
      <c r="H6" t="str">
        <v>United Kingdom</v>
      </c>
      <c r="I6" t="str">
        <v>England</v>
      </c>
      <c r="J6" t="str">
        <v>Bikes</v>
      </c>
      <c r="K6" t="str">
        <v>Mountain Bikes</v>
      </c>
      <c r="L6" t="str">
        <v>Mountain-200 Black, 38</v>
      </c>
      <c r="M6">
        <v>36</v>
      </c>
      <c r="N6">
        <v>1252</v>
      </c>
      <c r="O6">
        <v>2295</v>
      </c>
      <c r="P6">
        <v>37548</v>
      </c>
      <c r="Q6">
        <v>45072</v>
      </c>
      <c r="R6">
        <v>82620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ALBERTO VILCHIS RIOS</dc:creator>
  <cp:lastModifiedBy>GABRIEL ALBERTO VILCHIS RIOS</cp:lastModifiedBy>
  <dcterms:created xsi:type="dcterms:W3CDTF">2025-12-16T23:46:55Z</dcterms:created>
  <dcterms:modified xsi:type="dcterms:W3CDTF">2025-12-17T00:06:37Z</dcterms:modified>
</cp:coreProperties>
</file>